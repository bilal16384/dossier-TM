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C:\Users\bilal\jeu-unity\dossier-TM\"/>
    </mc:Choice>
  </mc:AlternateContent>
  <xr:revisionPtr revIDLastSave="0" documentId="13_ncr:1_{E66A2234-B29C-4AD3-B17B-50EC77E9A743}" xr6:coauthVersionLast="47" xr6:coauthVersionMax="47" xr10:uidLastSave="{00000000-0000-0000-0000-000000000000}"/>
  <bookViews>
    <workbookView xWindow="15" yWindow="375" windowWidth="19185" windowHeight="10905" xr2:uid="{00000000-000D-0000-FFFF-FFFF00000000}"/>
  </bookViews>
  <sheets>
    <sheet name="journal-de-bord" sheetId="1" r:id="rId1"/>
  </sheets>
  <definedNames>
    <definedName name="_xlnm._FilterDatabase" localSheetId="0" hidden="1">'journal-de-bord'!$A$5:$H$101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 l="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9" i="1"/>
  <c r="H101" i="1" l="1"/>
</calcChain>
</file>

<file path=xl/sharedStrings.xml><?xml version="1.0" encoding="utf-8"?>
<sst xmlns="http://schemas.openxmlformats.org/spreadsheetml/2006/main" count="240" uniqueCount="99">
  <si>
    <t>Journal de bord</t>
  </si>
  <si>
    <t>Date</t>
  </si>
  <si>
    <t>Description du travail / tâche</t>
  </si>
  <si>
    <t>Tâche terminé 
(oui/partiel/non)</t>
  </si>
  <si>
    <t>Bloqué (oui/non)</t>
  </si>
  <si>
    <t xml:space="preserve">Commentaire 
(éventuellement) </t>
  </si>
  <si>
    <t>Temps investi
en min.</t>
  </si>
  <si>
    <t>Total</t>
  </si>
  <si>
    <t>Elève (Bilal Bertolini)</t>
  </si>
  <si>
    <t>rdv avec menthor et création d'un tableau sur miro</t>
  </si>
  <si>
    <t>oui</t>
  </si>
  <si>
    <t>non</t>
  </si>
  <si>
    <t>Installation de Unity Hub</t>
  </si>
  <si>
    <t>partiel</t>
  </si>
  <si>
    <t>définition du concept du jeu vidéo et initialisation du projet sur Unity</t>
  </si>
  <si>
    <t>Début</t>
  </si>
  <si>
    <t>Fin</t>
  </si>
  <si>
    <t>création du planning du TM et modification du journal de bord</t>
  </si>
  <si>
    <t>reclancé un projet unity pour le synchroniser avec git</t>
  </si>
  <si>
    <t>recherche de logiciel de Design et complétion du planning</t>
  </si>
  <si>
    <t>J'ai effectué un premier commit du projet Unity</t>
  </si>
  <si>
    <t xml:space="preserve">Je n'arrivais pas à effectuer de commit Git de mon projet Unity. </t>
  </si>
  <si>
    <t xml:space="preserve">création d'un personnage avec un script permettant de se déplacer </t>
  </si>
  <si>
    <t xml:space="preserve">définition du premier personnage </t>
  </si>
  <si>
    <t>J'ai résolu ce problème en créant un fichier appelé .gitignore (il permet à git d'ignorer des fichier volumineux et temporaires que Unity crée) https://github.com/github/gitignore/blob/main/Unity.gitignore</t>
  </si>
  <si>
    <t>j'ai téléchargé une extension de visual studio code appelé Unity et un .net SDK pour pouvoir coder en C# sur Visual Studio code (afin que visual studio code comprenne le code) j'ai pu réaliser un code qui fonctionne</t>
  </si>
  <si>
    <t>réalisation du code permettant de déplacer le personnage horizontalement</t>
  </si>
  <si>
    <t>dépôt des documents du TM sur Github et ajout d'une gravité au personnage et d'un terrain</t>
  </si>
  <si>
    <t>ajout d'un box collider au personnage pour atterir sur le terrain</t>
  </si>
  <si>
    <t>ajout de nouvelles échéances au planning</t>
  </si>
  <si>
    <t>J'ai regardé cette vidéo pour mieux comprendre le c# https://youtu.be/Zrt0iEBBkRM</t>
  </si>
  <si>
    <t>ajout du saut au personnage ainsi que d'une longueur de saut pour que le personnage puisse sauter plus ou moins haut</t>
  </si>
  <si>
    <t>progression sur le saut du personnage</t>
  </si>
  <si>
    <t>j'ai créé un boxcast permettant de voir si le personnage est au sol et divisé le script de déplacement en 2 (un avec les déplacements de droite à gauche et un avec le saut)</t>
  </si>
  <si>
    <t>Le personnage peut sauter dans les airs</t>
  </si>
  <si>
    <t>modifications du planing et lecture d'un livre sur la création d'un jeu sur unity</t>
  </si>
  <si>
    <t>livre : Unity : "de la création à la publication d'un jeu-vidéo en 2D" de Franck Marcel</t>
  </si>
  <si>
    <t>Début du code de l'attaque basique</t>
  </si>
  <si>
    <t>Lecture du livre sur la création d'un jeu sur unity</t>
  </si>
  <si>
    <t>Code de l'attaque de base et d'un système pour gérer les points de vie d'un personnage</t>
  </si>
  <si>
    <t>Réglage de 2 bugs sur le déplacement des personnages et avancement sur le déroulement du jeu</t>
  </si>
  <si>
    <t>bug où le personnage pouvait se coller sur un mur sans tomber -&gt; création d'un physic material sur le personnage avec une friction nulle / correction d'un bug où le personnag sautait avec du retard -&gt; modification du script de saut sur les changements de rb.linearvelocity</t>
  </si>
  <si>
    <t>Lecture du livre sur la création d'un jeu sur unity au chapitre des animations 2D</t>
  </si>
  <si>
    <t>dessin d'un modèle qui court sur krita</t>
  </si>
  <si>
    <t>progression sur le saut du personnage et recherche d'un livre sur le développement d'un jeu 2d sur Unity</t>
  </si>
  <si>
    <t>Préparation de la présentation intermédiaire</t>
  </si>
  <si>
    <t>Préparation des slides de la présentation intermédiaire</t>
  </si>
  <si>
    <t>apprentissage du mode animation de krita et dessin de la course du personnage :)</t>
  </si>
  <si>
    <t>animation de la course du personnage</t>
  </si>
  <si>
    <t>Modification du journal de bord et exportation de l'animation de course</t>
  </si>
  <si>
    <t>enregistrement d'un clip vidéo sur le test des mouvements du personnage et préparation de la présentation orale</t>
  </si>
  <si>
    <t>Préparation présentation intermédiaire</t>
  </si>
  <si>
    <t>Préparation présentation orale</t>
  </si>
  <si>
    <t>ajout d'étapes au planning</t>
  </si>
  <si>
    <t>ajout de l'animation de course sur Unity</t>
  </si>
  <si>
    <t>rdv avec menthor et présentations intermédiaires</t>
  </si>
  <si>
    <t>annulation des collisions entre les 2 personnages et lecture du cours openclassrooms sur les classes</t>
  </si>
  <si>
    <t>https://openclassrooms.com/fr/courses/8807256-decouvrez-la-programmation-orientee-objet-avec-python/8818042-decouvrez-les-bases-de-la-programmation-orientee-objet-poo</t>
  </si>
  <si>
    <t>lecture du document sur les classes</t>
  </si>
  <si>
    <t>lecture du document sur la POO</t>
  </si>
  <si>
    <t>début du script sur la classe des personnages en POO</t>
  </si>
  <si>
    <t>progression sur la classe personnage et changement du planning</t>
  </si>
  <si>
    <t>modification de l'attaque de base et début du script de la première attaque spéciale</t>
  </si>
  <si>
    <t>L'attaque spéciale sera un coup de pied qui lance une chaussure qui peut heurter un autre joueur</t>
  </si>
  <si>
    <t>avancement sur le script de l'attaque spéciale</t>
  </si>
  <si>
    <t>avancement sur l'attaque spéciale</t>
  </si>
  <si>
    <t>création d'un prefab (objet réutilisable) pouvant être déployé lors de l'attaque spéciale comme chaussure</t>
  </si>
  <si>
    <t>progression sur le script d'attaque spéciale</t>
  </si>
  <si>
    <t>avancement sur le script de la classe personnage</t>
  </si>
  <si>
    <t>programmaiton de l'héritage de la classe personnage</t>
  </si>
  <si>
    <t>création de la classe d'attaque des personnages</t>
  </si>
  <si>
    <t>lien de la vidéo : https://youtu.be/Xfc9cOoe4vM?list=PLUWxWDlz8PYKnrd27LTqOxL2lr3KhEVRT</t>
  </si>
  <si>
    <t>regardé une vidéo youtube sur l'animation d'un personnage 2D sur Unity</t>
  </si>
  <si>
    <t>progression l'animation de course du premier personnage</t>
  </si>
  <si>
    <t>regardé la suite de la vidéo sur l'animation d'un personnage et avancement sur l'implémentation des animations du premier personnage</t>
  </si>
  <si>
    <t xml:space="preserve">terminé l'animation de course du premier personnage </t>
  </si>
  <si>
    <t>programmation de la classe d'attaque</t>
  </si>
  <si>
    <t>L'attaque de base n'inflige pas de dégâts pour une cause inconnue</t>
  </si>
  <si>
    <t>correction du bug sur l'attaque de base</t>
  </si>
  <si>
    <t xml:space="preserve">correction de l'attaque de base </t>
  </si>
  <si>
    <t>erreur sur la classe d'attaque (onTriggerEnter2D --&gt; onTriggerStay2D )</t>
  </si>
  <si>
    <t>debugging de l'attaque de base</t>
  </si>
  <si>
    <t>Changement de la propriété du rigidbody des personnages sleep mode sur never sleep. Cela permet à la détection de collision de ne pas s'arrêter lorsque les objets touchés sont immobiles</t>
  </si>
  <si>
    <t>Programmation de l'attaque spéciale du premier personnage</t>
  </si>
  <si>
    <t>programmation du projetile de l'attaque de base du premier personnage</t>
  </si>
  <si>
    <t>programmation sur l'attaque spéciale</t>
  </si>
  <si>
    <t>avancement sur la programmation de l'attaque spéciale</t>
  </si>
  <si>
    <t>Bug sur l'initialisation des projectiles par l'attaque spéciale où le projectile est automatiquement détruit tout de suite et bug où l'on ne peut pas directement déclencher l'attaque spéciale avant une attaque basique</t>
  </si>
  <si>
    <t>Correction de bugs sur la première attaque spéciale (bug de l'attaque qui disparait tout de suite)</t>
  </si>
  <si>
    <t>le bug est causé par une erreur au niveau de l'assignation des valeurs qui ne se faisait pas donc la durée de vie devenait 0 secondes</t>
  </si>
  <si>
    <t>Utilisation d'une interface qui permet d'encaisser des dégâts pour rendre la programmation plus facile et le jeu plus performant</t>
  </si>
  <si>
    <t>correction de l'attaque spéciale et changement de logique sur le système de dégâts</t>
  </si>
  <si>
    <t>correction de bugs sur l'attaque spéciale du premier personnage</t>
  </si>
  <si>
    <t>erreur sur la direction des projectiles qui partaient tojours vers la droite fixé avec une vérification de la direction du personnage où si il regardait vers la gauche, la vitesseX des projectiles s'inverse. Les projectiles détectaient aussi la zone d'attaque de l'adversaire et se détruisait sans commettre de dégâts -&gt; si la fonciton infligerDégâts a fait effet, le projectile est détruit</t>
  </si>
  <si>
    <t>Ajout du double saut à la classe Personnage</t>
  </si>
  <si>
    <t>Recherche de méchaniques d'attaques sur Brawl Stars pour inspiration</t>
  </si>
  <si>
    <t>lien vidéo : https://youtu.be/4LkiX_XioXg?list=PLUWxWDlz8PYKnrd27LTqOxL2lr3KhEVRT</t>
  </si>
  <si>
    <t>développement du GameManager et du menu du jeu et observation d'une vidéo sur la création  d'un menu de jeu sur Unity sur Youtube</t>
  </si>
  <si>
    <t>Rédaction d'un premier jet sur le rapport du TM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</si>
</sst>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u/>
      <sz val="11"/>
      <color theme="10"/>
      <name val="Aptos Narrow"/>
      <family val="2"/>
      <scheme val="minor"/>
    </font>
  </fonts>
  <fills count="5">
    <fill>
      <patternFill patternType="none"/>
    </fill>
    <fill>
      <patternFill patternType="gray125"/>
    </fill>
    <fill>
      <patternFill patternType="solid">
        <fgColor theme="9" tint="0.79998168889431442"/>
        <bgColor indexed="64"/>
      </patternFill>
    </fill>
    <fill>
      <patternFill patternType="solid">
        <fgColor rgb="FFFBFFA6"/>
        <bgColor indexed="64"/>
      </patternFill>
    </fill>
    <fill>
      <patternFill patternType="solid">
        <fgColor theme="5" tint="0.79998168889431442"/>
        <bgColor indexed="64"/>
      </patternFill>
    </fill>
  </fills>
  <borders count="8">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1" fillId="2" borderId="0" xfId="0" applyFont="1" applyFill="1"/>
    <xf numFmtId="0" fontId="0" fillId="3" borderId="0" xfId="0" applyFill="1"/>
    <xf numFmtId="0" fontId="1" fillId="4" borderId="0" xfId="0" applyFont="1" applyFill="1"/>
    <xf numFmtId="14" fontId="0" fillId="0" borderId="1" xfId="0" applyNumberFormat="1" applyBorder="1"/>
    <xf numFmtId="0" fontId="0" fillId="0" borderId="2" xfId="0" applyBorder="1"/>
    <xf numFmtId="1" fontId="0" fillId="0" borderId="3" xfId="0" applyNumberFormat="1" applyBorder="1"/>
    <xf numFmtId="14" fontId="0" fillId="0" borderId="4" xfId="0" applyNumberFormat="1" applyBorder="1"/>
    <xf numFmtId="1" fontId="0" fillId="0" borderId="5" xfId="0" applyNumberFormat="1" applyBorder="1"/>
    <xf numFmtId="0" fontId="0" fillId="2" borderId="0" xfId="0" applyFill="1" applyAlignment="1">
      <alignment wrapText="1"/>
    </xf>
    <xf numFmtId="0" fontId="1" fillId="2" borderId="0" xfId="0" applyFont="1" applyFill="1" applyAlignment="1">
      <alignment horizontal="center" vertical="center"/>
    </xf>
    <xf numFmtId="0" fontId="1" fillId="2" borderId="0" xfId="0" applyFont="1" applyFill="1" applyAlignment="1">
      <alignment horizontal="center" vertical="center" wrapText="1"/>
    </xf>
    <xf numFmtId="14" fontId="0" fillId="0" borderId="2" xfId="0" applyNumberFormat="1" applyBorder="1"/>
    <xf numFmtId="14" fontId="0" fillId="0" borderId="0" xfId="0" applyNumberFormat="1"/>
    <xf numFmtId="20" fontId="0" fillId="0" borderId="0" xfId="0" applyNumberFormat="1"/>
    <xf numFmtId="0" fontId="0" fillId="0" borderId="2" xfId="0" applyBorder="1" applyAlignment="1">
      <alignment wrapText="1"/>
    </xf>
    <xf numFmtId="0" fontId="0" fillId="0" borderId="0" xfId="0" applyAlignment="1">
      <alignment wrapText="1"/>
    </xf>
    <xf numFmtId="14" fontId="0" fillId="0" borderId="4" xfId="0" applyNumberFormat="1" applyBorder="1" applyAlignment="1">
      <alignment wrapText="1"/>
    </xf>
    <xf numFmtId="20" fontId="0" fillId="0" borderId="0" xfId="0" applyNumberFormat="1" applyAlignment="1">
      <alignment wrapText="1"/>
    </xf>
    <xf numFmtId="14" fontId="0" fillId="0" borderId="0" xfId="0" applyNumberFormat="1" applyAlignment="1">
      <alignment wrapText="1"/>
    </xf>
    <xf numFmtId="0" fontId="0" fillId="0" borderId="4" xfId="0" applyBorder="1" applyAlignment="1">
      <alignment wrapText="1"/>
    </xf>
    <xf numFmtId="0" fontId="0" fillId="0" borderId="6" xfId="0" applyBorder="1" applyAlignment="1">
      <alignment wrapText="1"/>
    </xf>
    <xf numFmtId="0" fontId="0" fillId="0" borderId="7" xfId="0" applyBorder="1" applyAlignment="1">
      <alignment wrapText="1"/>
    </xf>
    <xf numFmtId="2" fontId="0" fillId="0" borderId="5" xfId="0" applyNumberFormat="1" applyBorder="1"/>
    <xf numFmtId="0" fontId="2" fillId="0" borderId="0" xfId="1" applyAlignment="1">
      <alignment wrapText="1"/>
    </xf>
    <xf numFmtId="0" fontId="1" fillId="0" borderId="0" xfId="0" applyFont="1" applyAlignment="1">
      <alignment horizontal="left"/>
    </xf>
    <xf numFmtId="0" fontId="1" fillId="4" borderId="0" xfId="0" applyFont="1" applyFill="1" applyAlignment="1">
      <alignment horizontal="center"/>
    </xf>
  </cellXfs>
  <cellStyles count="2">
    <cellStyle name="Lien hypertexte" xfId="1" builtinId="8"/>
    <cellStyle name="Normal" xfId="0" builtinId="0"/>
  </cellStyles>
  <dxfs count="0"/>
  <tableStyles count="0" defaultTableStyle="TableStyleMedium2" defaultPivotStyle="PivotStyleMedium9"/>
  <colors>
    <mruColors>
      <color rgb="FFFBFFA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youtu.be/4LkiX_XioXg?list=PLUWxWDlz8PYKnrd27LTqOxL2lr3KhEVRT" TargetMode="External"/><Relationship Id="rId1" Type="http://schemas.openxmlformats.org/officeDocument/2006/relationships/hyperlink" Target="https://openclassrooms.com/fr/courses/8807256-decouvrez-la-programmation-orientee-objet-avec-python/8818042-decouvrez-les-bases-de-la-programmation-orientee-objet-po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1"/>
  <sheetViews>
    <sheetView tabSelected="1" topLeftCell="A72" zoomScale="89" workbookViewId="0">
      <selection activeCell="G76" sqref="G76"/>
    </sheetView>
  </sheetViews>
  <sheetFormatPr baseColWidth="10" defaultColWidth="9" defaultRowHeight="14.25" x14ac:dyDescent="0.45"/>
  <cols>
    <col min="1" max="1" width="11.265625" bestFit="1" customWidth="1"/>
    <col min="2" max="2" width="11.1328125" bestFit="1" customWidth="1"/>
    <col min="3" max="3" width="9.86328125" customWidth="1"/>
    <col min="4" max="4" width="65.1328125" customWidth="1"/>
    <col min="5" max="5" width="14" bestFit="1" customWidth="1"/>
    <col min="6" max="6" width="20.1328125" customWidth="1"/>
    <col min="7" max="7" width="30.59765625" customWidth="1"/>
    <col min="8" max="8" width="14.1328125" customWidth="1"/>
  </cols>
  <sheetData>
    <row r="1" spans="1:10" x14ac:dyDescent="0.45">
      <c r="E1" s="26" t="s">
        <v>0</v>
      </c>
      <c r="F1" s="26"/>
      <c r="G1" s="3"/>
      <c r="H1" s="3"/>
      <c r="I1" s="3"/>
      <c r="J1" s="3"/>
    </row>
    <row r="3" spans="1:10" x14ac:dyDescent="0.45">
      <c r="A3" s="25" t="s">
        <v>8</v>
      </c>
      <c r="B3" s="25"/>
      <c r="C3" s="25"/>
      <c r="D3" s="25"/>
      <c r="E3" s="2"/>
    </row>
    <row r="5" spans="1:10" ht="28.5" x14ac:dyDescent="0.45">
      <c r="A5" s="10" t="s">
        <v>1</v>
      </c>
      <c r="B5" s="10" t="s">
        <v>15</v>
      </c>
      <c r="C5" s="10" t="s">
        <v>16</v>
      </c>
      <c r="D5" s="10" t="s">
        <v>2</v>
      </c>
      <c r="E5" s="11" t="s">
        <v>3</v>
      </c>
      <c r="F5" s="11" t="s">
        <v>4</v>
      </c>
      <c r="G5" s="11" t="s">
        <v>5</v>
      </c>
      <c r="H5" s="11" t="s">
        <v>6</v>
      </c>
    </row>
    <row r="6" spans="1:10" x14ac:dyDescent="0.45">
      <c r="A6" s="4">
        <v>46070.371527777781</v>
      </c>
      <c r="B6" s="12"/>
      <c r="C6" s="12"/>
      <c r="D6" s="5" t="s">
        <v>9</v>
      </c>
      <c r="E6" s="5" t="s">
        <v>10</v>
      </c>
      <c r="F6" s="5" t="s">
        <v>11</v>
      </c>
      <c r="G6" s="15"/>
      <c r="H6" s="6">
        <v>40</v>
      </c>
    </row>
    <row r="7" spans="1:10" x14ac:dyDescent="0.45">
      <c r="A7" s="7">
        <v>46113</v>
      </c>
      <c r="B7" s="13"/>
      <c r="C7" s="13"/>
      <c r="D7" t="s">
        <v>12</v>
      </c>
      <c r="E7" t="s">
        <v>10</v>
      </c>
      <c r="F7" t="s">
        <v>11</v>
      </c>
      <c r="G7" s="16"/>
      <c r="H7" s="8">
        <v>10</v>
      </c>
    </row>
    <row r="8" spans="1:10" x14ac:dyDescent="0.45">
      <c r="A8" s="7">
        <v>46139</v>
      </c>
      <c r="B8" s="13"/>
      <c r="C8" s="13"/>
      <c r="D8" t="s">
        <v>14</v>
      </c>
      <c r="E8" t="s">
        <v>13</v>
      </c>
      <c r="F8" t="s">
        <v>11</v>
      </c>
      <c r="G8" s="16"/>
      <c r="H8" s="8">
        <v>70</v>
      </c>
    </row>
    <row r="9" spans="1:10" x14ac:dyDescent="0.45">
      <c r="A9" s="7">
        <v>46144</v>
      </c>
      <c r="B9" s="14">
        <v>0.40972222222222221</v>
      </c>
      <c r="C9" s="14">
        <v>0.4548611111111111</v>
      </c>
      <c r="D9" t="s">
        <v>17</v>
      </c>
      <c r="E9" t="s">
        <v>13</v>
      </c>
      <c r="F9" t="s">
        <v>11</v>
      </c>
      <c r="G9" s="16"/>
      <c r="H9" s="23">
        <f>(C9-B9)*24*60</f>
        <v>65.000000000000014</v>
      </c>
    </row>
    <row r="10" spans="1:10" x14ac:dyDescent="0.45">
      <c r="A10" s="7">
        <v>46144</v>
      </c>
      <c r="B10" s="14">
        <v>0.67361111111111116</v>
      </c>
      <c r="C10" s="14">
        <v>0.70347222222222228</v>
      </c>
      <c r="D10" t="s">
        <v>19</v>
      </c>
      <c r="E10" t="s">
        <v>10</v>
      </c>
      <c r="F10" t="s">
        <v>11</v>
      </c>
      <c r="G10" s="16"/>
      <c r="H10" s="23">
        <f t="shared" ref="H10:H73" si="0">(C10-B10)*24*60</f>
        <v>43.000000000000007</v>
      </c>
    </row>
    <row r="11" spans="1:10" ht="28.5" x14ac:dyDescent="0.45">
      <c r="A11" s="7">
        <v>46144</v>
      </c>
      <c r="B11" s="14">
        <v>0.74652777777777779</v>
      </c>
      <c r="C11" s="14">
        <v>0.80208333333333337</v>
      </c>
      <c r="D11" t="s">
        <v>18</v>
      </c>
      <c r="E11" t="s">
        <v>11</v>
      </c>
      <c r="F11" t="s">
        <v>10</v>
      </c>
      <c r="G11" s="16" t="s">
        <v>21</v>
      </c>
      <c r="H11" s="23">
        <f t="shared" si="0"/>
        <v>80.000000000000028</v>
      </c>
    </row>
    <row r="12" spans="1:10" ht="85.5" x14ac:dyDescent="0.45">
      <c r="A12" s="7">
        <v>46144</v>
      </c>
      <c r="B12" s="14">
        <v>0.86111111111111116</v>
      </c>
      <c r="C12" s="14">
        <v>0.89583333333333337</v>
      </c>
      <c r="D12" t="s">
        <v>20</v>
      </c>
      <c r="E12" t="s">
        <v>10</v>
      </c>
      <c r="F12" t="s">
        <v>11</v>
      </c>
      <c r="G12" s="16" t="s">
        <v>24</v>
      </c>
      <c r="H12" s="23">
        <f t="shared" si="0"/>
        <v>49.999999999999986</v>
      </c>
    </row>
    <row r="13" spans="1:10" ht="85.5" x14ac:dyDescent="0.45">
      <c r="A13" s="7">
        <v>46145</v>
      </c>
      <c r="B13" s="14">
        <v>0.4861111111111111</v>
      </c>
      <c r="C13" s="14">
        <v>0.5625</v>
      </c>
      <c r="D13" t="s">
        <v>22</v>
      </c>
      <c r="E13" t="s">
        <v>11</v>
      </c>
      <c r="F13" t="s">
        <v>11</v>
      </c>
      <c r="G13" s="16" t="s">
        <v>25</v>
      </c>
      <c r="H13" s="23">
        <f t="shared" si="0"/>
        <v>110.00000000000001</v>
      </c>
    </row>
    <row r="14" spans="1:10" x14ac:dyDescent="0.45">
      <c r="A14" s="7">
        <v>46145</v>
      </c>
      <c r="B14" s="14">
        <v>0.60763888888888884</v>
      </c>
      <c r="C14" s="14">
        <v>0.63194444444444442</v>
      </c>
      <c r="D14" t="s">
        <v>23</v>
      </c>
      <c r="E14" t="s">
        <v>11</v>
      </c>
      <c r="F14" t="s">
        <v>11</v>
      </c>
      <c r="G14" s="16"/>
      <c r="H14" s="23">
        <f t="shared" si="0"/>
        <v>35.000000000000036</v>
      </c>
    </row>
    <row r="15" spans="1:10" x14ac:dyDescent="0.45">
      <c r="A15" s="7">
        <v>46145</v>
      </c>
      <c r="B15" s="14">
        <v>0.73611111111111116</v>
      </c>
      <c r="C15" s="14">
        <v>0.8125</v>
      </c>
      <c r="D15" t="s">
        <v>26</v>
      </c>
      <c r="E15" t="s">
        <v>10</v>
      </c>
      <c r="F15" t="s">
        <v>11</v>
      </c>
      <c r="G15" s="16"/>
      <c r="H15" s="23">
        <f t="shared" si="0"/>
        <v>109.99999999999993</v>
      </c>
    </row>
    <row r="16" spans="1:10" ht="28.5" x14ac:dyDescent="0.45">
      <c r="A16" s="17">
        <v>46157</v>
      </c>
      <c r="B16" s="18">
        <v>0.875</v>
      </c>
      <c r="C16" s="18">
        <v>0.92361111111111116</v>
      </c>
      <c r="D16" s="16" t="s">
        <v>27</v>
      </c>
      <c r="E16" s="16" t="s">
        <v>11</v>
      </c>
      <c r="F16" s="16" t="s">
        <v>11</v>
      </c>
      <c r="G16" s="16"/>
      <c r="H16" s="23">
        <f t="shared" si="0"/>
        <v>70.000000000000071</v>
      </c>
    </row>
    <row r="17" spans="1:8" x14ac:dyDescent="0.45">
      <c r="A17" s="17">
        <v>46158</v>
      </c>
      <c r="B17" s="18">
        <v>0.69444444444444442</v>
      </c>
      <c r="C17" s="18">
        <v>0.72222222222222221</v>
      </c>
      <c r="D17" s="16" t="s">
        <v>28</v>
      </c>
      <c r="E17" s="16" t="s">
        <v>10</v>
      </c>
      <c r="F17" s="16" t="s">
        <v>11</v>
      </c>
      <c r="G17" s="16"/>
      <c r="H17" s="23">
        <f t="shared" si="0"/>
        <v>40.000000000000014</v>
      </c>
    </row>
    <row r="18" spans="1:8" x14ac:dyDescent="0.45">
      <c r="A18" s="17">
        <v>46159</v>
      </c>
      <c r="B18" s="18">
        <v>0.58333333333333337</v>
      </c>
      <c r="C18" s="18">
        <v>0.59375</v>
      </c>
      <c r="D18" s="16" t="s">
        <v>29</v>
      </c>
      <c r="E18" s="16" t="s">
        <v>10</v>
      </c>
      <c r="F18" s="16" t="s">
        <v>11</v>
      </c>
      <c r="G18" s="16"/>
      <c r="H18" s="23">
        <f t="shared" si="0"/>
        <v>14.999999999999947</v>
      </c>
    </row>
    <row r="19" spans="1:8" ht="42.75" x14ac:dyDescent="0.45">
      <c r="A19" s="17">
        <v>46159</v>
      </c>
      <c r="B19" s="18">
        <v>0.625</v>
      </c>
      <c r="C19" s="18">
        <v>0.70833333333333337</v>
      </c>
      <c r="D19" s="16" t="s">
        <v>31</v>
      </c>
      <c r="E19" s="16" t="s">
        <v>11</v>
      </c>
      <c r="F19" s="16" t="s">
        <v>11</v>
      </c>
      <c r="G19" s="16" t="s">
        <v>30</v>
      </c>
      <c r="H19" s="23">
        <f t="shared" si="0"/>
        <v>120.00000000000006</v>
      </c>
    </row>
    <row r="20" spans="1:8" ht="28.5" x14ac:dyDescent="0.45">
      <c r="A20" s="17">
        <v>46159</v>
      </c>
      <c r="B20" s="18">
        <v>0.73958333333333337</v>
      </c>
      <c r="C20" s="18">
        <v>0.78125</v>
      </c>
      <c r="D20" s="16" t="s">
        <v>44</v>
      </c>
      <c r="E20" s="16" t="s">
        <v>11</v>
      </c>
      <c r="F20" s="16" t="s">
        <v>11</v>
      </c>
      <c r="G20" s="16" t="s">
        <v>34</v>
      </c>
      <c r="H20" s="23">
        <f t="shared" si="0"/>
        <v>59.999999999999943</v>
      </c>
    </row>
    <row r="21" spans="1:8" ht="71.25" x14ac:dyDescent="0.45">
      <c r="A21" s="17">
        <v>46162</v>
      </c>
      <c r="B21" s="18">
        <v>0.71180555555555558</v>
      </c>
      <c r="C21" s="18">
        <v>0.81597222222222221</v>
      </c>
      <c r="D21" s="16" t="s">
        <v>32</v>
      </c>
      <c r="E21" s="16" t="s">
        <v>10</v>
      </c>
      <c r="F21" s="16" t="s">
        <v>11</v>
      </c>
      <c r="G21" s="16" t="s">
        <v>33</v>
      </c>
      <c r="H21" s="23">
        <f t="shared" si="0"/>
        <v>149.99999999999994</v>
      </c>
    </row>
    <row r="22" spans="1:8" ht="42.75" x14ac:dyDescent="0.45">
      <c r="A22" s="17">
        <v>46165</v>
      </c>
      <c r="B22" s="18">
        <v>0.53472222222222221</v>
      </c>
      <c r="C22" s="18">
        <v>0.57291666666666663</v>
      </c>
      <c r="D22" s="16" t="s">
        <v>35</v>
      </c>
      <c r="E22" s="16" t="s">
        <v>11</v>
      </c>
      <c r="F22" s="16" t="s">
        <v>11</v>
      </c>
      <c r="G22" s="16" t="s">
        <v>36</v>
      </c>
      <c r="H22" s="23">
        <f t="shared" si="0"/>
        <v>54.999999999999964</v>
      </c>
    </row>
    <row r="23" spans="1:8" x14ac:dyDescent="0.45">
      <c r="A23" s="17">
        <v>46166</v>
      </c>
      <c r="B23" s="18">
        <v>0.51388888888888884</v>
      </c>
      <c r="C23" s="18">
        <v>0.54166666666666663</v>
      </c>
      <c r="D23" s="16" t="s">
        <v>37</v>
      </c>
      <c r="E23" s="16" t="s">
        <v>11</v>
      </c>
      <c r="F23" s="16" t="s">
        <v>11</v>
      </c>
      <c r="G23" s="16"/>
      <c r="H23" s="23">
        <f t="shared" si="0"/>
        <v>40.000000000000014</v>
      </c>
    </row>
    <row r="24" spans="1:8" x14ac:dyDescent="0.45">
      <c r="A24" s="17">
        <v>46166</v>
      </c>
      <c r="B24" s="18">
        <v>0.89583333333333337</v>
      </c>
      <c r="C24" s="18">
        <v>0.93055555555555558</v>
      </c>
      <c r="D24" s="16" t="s">
        <v>38</v>
      </c>
      <c r="E24" s="16" t="s">
        <v>13</v>
      </c>
      <c r="F24" s="16" t="s">
        <v>11</v>
      </c>
      <c r="G24" s="16"/>
      <c r="H24" s="23">
        <f t="shared" si="0"/>
        <v>49.999999999999986</v>
      </c>
    </row>
    <row r="25" spans="1:8" ht="28.5" x14ac:dyDescent="0.45">
      <c r="A25" s="17">
        <v>46167</v>
      </c>
      <c r="B25" s="18">
        <v>0.4375</v>
      </c>
      <c r="C25" s="18">
        <v>0.51041666666666663</v>
      </c>
      <c r="D25" s="16" t="s">
        <v>39</v>
      </c>
      <c r="E25" s="16" t="s">
        <v>10</v>
      </c>
      <c r="F25" s="16" t="s">
        <v>11</v>
      </c>
      <c r="G25" s="16"/>
      <c r="H25" s="23">
        <f t="shared" si="0"/>
        <v>104.99999999999994</v>
      </c>
    </row>
    <row r="26" spans="1:8" ht="114" x14ac:dyDescent="0.45">
      <c r="A26" s="17">
        <v>46173</v>
      </c>
      <c r="B26" s="18">
        <v>0.44791666666666669</v>
      </c>
      <c r="C26" s="18">
        <v>0.50694444444444442</v>
      </c>
      <c r="D26" s="16" t="s">
        <v>40</v>
      </c>
      <c r="E26" s="16" t="s">
        <v>10</v>
      </c>
      <c r="F26" s="16" t="s">
        <v>11</v>
      </c>
      <c r="G26" s="16" t="s">
        <v>41</v>
      </c>
      <c r="H26" s="23">
        <f t="shared" si="0"/>
        <v>84.999999999999943</v>
      </c>
    </row>
    <row r="27" spans="1:8" x14ac:dyDescent="0.45">
      <c r="A27" s="17">
        <v>46173</v>
      </c>
      <c r="B27" s="18">
        <v>0.52777777777777779</v>
      </c>
      <c r="C27" s="18">
        <v>0.54861111111111116</v>
      </c>
      <c r="D27" s="16" t="s">
        <v>42</v>
      </c>
      <c r="E27" s="16" t="s">
        <v>11</v>
      </c>
      <c r="F27" s="16" t="s">
        <v>11</v>
      </c>
      <c r="G27" s="16"/>
      <c r="H27" s="23">
        <f t="shared" si="0"/>
        <v>30.000000000000053</v>
      </c>
    </row>
    <row r="28" spans="1:8" x14ac:dyDescent="0.45">
      <c r="A28" s="17">
        <v>46173</v>
      </c>
      <c r="B28" s="18">
        <v>0.69791666666666663</v>
      </c>
      <c r="C28" s="18">
        <v>0.71875</v>
      </c>
      <c r="D28" s="16" t="s">
        <v>43</v>
      </c>
      <c r="E28" s="16" t="s">
        <v>11</v>
      </c>
      <c r="F28" s="16" t="s">
        <v>10</v>
      </c>
      <c r="G28" s="16"/>
      <c r="H28" s="23">
        <f t="shared" si="0"/>
        <v>30.000000000000053</v>
      </c>
    </row>
    <row r="29" spans="1:8" x14ac:dyDescent="0.45">
      <c r="A29" s="17">
        <v>46174</v>
      </c>
      <c r="B29" s="19"/>
      <c r="C29" s="19"/>
      <c r="D29" s="16" t="s">
        <v>45</v>
      </c>
      <c r="E29" s="16" t="s">
        <v>11</v>
      </c>
      <c r="F29" s="16" t="s">
        <v>11</v>
      </c>
      <c r="G29" s="16"/>
      <c r="H29" s="23">
        <f t="shared" si="0"/>
        <v>0</v>
      </c>
    </row>
    <row r="30" spans="1:8" x14ac:dyDescent="0.45">
      <c r="A30" s="17">
        <v>46176</v>
      </c>
      <c r="B30" s="18">
        <v>0.71875</v>
      </c>
      <c r="C30" s="18">
        <v>0.79166666666666663</v>
      </c>
      <c r="D30" s="16" t="s">
        <v>46</v>
      </c>
      <c r="E30" s="16" t="s">
        <v>10</v>
      </c>
      <c r="F30" s="16" t="s">
        <v>11</v>
      </c>
      <c r="G30" s="16"/>
      <c r="H30" s="23">
        <f t="shared" si="0"/>
        <v>104.99999999999994</v>
      </c>
    </row>
    <row r="31" spans="1:8" x14ac:dyDescent="0.45">
      <c r="A31" s="17">
        <v>46178</v>
      </c>
      <c r="B31" s="18">
        <v>0.75</v>
      </c>
      <c r="C31" s="18">
        <v>0.79166666666666663</v>
      </c>
      <c r="D31" s="16" t="s">
        <v>47</v>
      </c>
      <c r="E31" s="16" t="s">
        <v>11</v>
      </c>
      <c r="F31" s="16" t="s">
        <v>11</v>
      </c>
      <c r="G31" s="16"/>
      <c r="H31" s="23">
        <f t="shared" si="0"/>
        <v>59.999999999999943</v>
      </c>
    </row>
    <row r="32" spans="1:8" x14ac:dyDescent="0.45">
      <c r="A32" s="17">
        <v>46178</v>
      </c>
      <c r="B32" s="18">
        <v>0.89236111111111116</v>
      </c>
      <c r="C32" s="18">
        <v>0.90972222222222221</v>
      </c>
      <c r="D32" s="16" t="s">
        <v>48</v>
      </c>
      <c r="E32" s="16" t="s">
        <v>10</v>
      </c>
      <c r="F32" s="16" t="s">
        <v>11</v>
      </c>
      <c r="G32" s="16"/>
      <c r="H32" s="23">
        <f t="shared" si="0"/>
        <v>24.999999999999911</v>
      </c>
    </row>
    <row r="33" spans="1:8" x14ac:dyDescent="0.45">
      <c r="A33" s="17">
        <v>46179</v>
      </c>
      <c r="B33" s="18">
        <v>0.87847222222222221</v>
      </c>
      <c r="C33" s="18">
        <v>0.89236111111111116</v>
      </c>
      <c r="D33" s="16" t="s">
        <v>49</v>
      </c>
      <c r="E33" s="16" t="s">
        <v>10</v>
      </c>
      <c r="F33" s="16" t="s">
        <v>11</v>
      </c>
      <c r="G33" s="16"/>
      <c r="H33" s="23">
        <f t="shared" si="0"/>
        <v>20.000000000000089</v>
      </c>
    </row>
    <row r="34" spans="1:8" ht="28.5" x14ac:dyDescent="0.45">
      <c r="A34" s="17">
        <v>46181</v>
      </c>
      <c r="B34" s="18">
        <v>0.3888888888888889</v>
      </c>
      <c r="C34" s="18">
        <v>0.4201388888888889</v>
      </c>
      <c r="D34" s="16" t="s">
        <v>50</v>
      </c>
      <c r="E34" s="16" t="s">
        <v>11</v>
      </c>
      <c r="F34" s="16" t="s">
        <v>11</v>
      </c>
      <c r="G34" s="16"/>
      <c r="H34" s="23">
        <f t="shared" si="0"/>
        <v>45</v>
      </c>
    </row>
    <row r="35" spans="1:8" x14ac:dyDescent="0.45">
      <c r="A35" s="17">
        <v>46181</v>
      </c>
      <c r="B35" s="18">
        <v>0.4375</v>
      </c>
      <c r="C35" s="18">
        <v>0.50347222222222221</v>
      </c>
      <c r="D35" s="16" t="s">
        <v>51</v>
      </c>
      <c r="E35" s="16" t="s">
        <v>11</v>
      </c>
      <c r="F35" s="16" t="s">
        <v>11</v>
      </c>
      <c r="G35" s="16"/>
      <c r="H35" s="23">
        <f t="shared" si="0"/>
        <v>94.999999999999986</v>
      </c>
    </row>
    <row r="36" spans="1:8" x14ac:dyDescent="0.45">
      <c r="A36" s="17">
        <v>46181</v>
      </c>
      <c r="B36" s="18">
        <v>0.63888888888888884</v>
      </c>
      <c r="C36" s="18">
        <v>0.6875</v>
      </c>
      <c r="D36" s="16" t="s">
        <v>52</v>
      </c>
      <c r="E36" s="16" t="s">
        <v>10</v>
      </c>
      <c r="F36" s="16" t="s">
        <v>11</v>
      </c>
      <c r="G36" s="16"/>
      <c r="H36" s="23">
        <f t="shared" si="0"/>
        <v>70.000000000000071</v>
      </c>
    </row>
    <row r="37" spans="1:8" x14ac:dyDescent="0.45">
      <c r="A37" s="17">
        <v>46182</v>
      </c>
      <c r="B37" s="18">
        <v>0.34375</v>
      </c>
      <c r="C37" s="18">
        <v>0.35416666666666669</v>
      </c>
      <c r="D37" s="16" t="s">
        <v>53</v>
      </c>
      <c r="E37" s="16" t="s">
        <v>10</v>
      </c>
      <c r="F37" s="16" t="s">
        <v>11</v>
      </c>
      <c r="G37" s="16"/>
      <c r="H37" s="23">
        <f t="shared" si="0"/>
        <v>15.000000000000027</v>
      </c>
    </row>
    <row r="38" spans="1:8" x14ac:dyDescent="0.45">
      <c r="A38" s="17">
        <v>46182</v>
      </c>
      <c r="B38" s="18">
        <v>0.37152777777777779</v>
      </c>
      <c r="C38" s="18">
        <v>0.38194444444444442</v>
      </c>
      <c r="D38" s="16" t="s">
        <v>54</v>
      </c>
      <c r="E38" s="16" t="s">
        <v>11</v>
      </c>
      <c r="F38" s="16" t="s">
        <v>11</v>
      </c>
      <c r="G38" s="16"/>
      <c r="H38" s="23">
        <f t="shared" si="0"/>
        <v>14.999999999999947</v>
      </c>
    </row>
    <row r="39" spans="1:8" x14ac:dyDescent="0.45">
      <c r="A39" s="17">
        <v>46182</v>
      </c>
      <c r="B39" s="18">
        <v>0.39583333333333331</v>
      </c>
      <c r="C39" s="18">
        <v>0.49305555555555558</v>
      </c>
      <c r="D39" s="16" t="s">
        <v>55</v>
      </c>
      <c r="E39" s="16" t="s">
        <v>10</v>
      </c>
      <c r="F39" s="16" t="s">
        <v>11</v>
      </c>
      <c r="G39" s="16"/>
      <c r="H39" s="23">
        <f t="shared" si="0"/>
        <v>140.00000000000006</v>
      </c>
    </row>
    <row r="40" spans="1:8" ht="85.5" x14ac:dyDescent="0.45">
      <c r="A40" s="17">
        <v>46182</v>
      </c>
      <c r="B40" s="18">
        <v>0.58680555555555558</v>
      </c>
      <c r="C40" s="18">
        <v>0.62847222222222221</v>
      </c>
      <c r="D40" s="16" t="s">
        <v>56</v>
      </c>
      <c r="E40" s="16" t="s">
        <v>11</v>
      </c>
      <c r="F40" s="16" t="s">
        <v>11</v>
      </c>
      <c r="G40" s="24" t="s">
        <v>57</v>
      </c>
      <c r="H40" s="23">
        <f t="shared" si="0"/>
        <v>59.999999999999943</v>
      </c>
    </row>
    <row r="41" spans="1:8" x14ac:dyDescent="0.45">
      <c r="A41" s="17">
        <v>46182</v>
      </c>
      <c r="B41" s="18">
        <v>0.77083333333333337</v>
      </c>
      <c r="C41" s="18">
        <v>0.79861111111111116</v>
      </c>
      <c r="D41" s="16" t="s">
        <v>58</v>
      </c>
      <c r="E41" s="16" t="s">
        <v>11</v>
      </c>
      <c r="F41" s="16" t="s">
        <v>11</v>
      </c>
      <c r="G41" s="16"/>
      <c r="H41" s="23">
        <f t="shared" si="0"/>
        <v>40.000000000000014</v>
      </c>
    </row>
    <row r="42" spans="1:8" x14ac:dyDescent="0.45">
      <c r="A42" s="17">
        <v>46183</v>
      </c>
      <c r="B42" s="18">
        <v>0.6875</v>
      </c>
      <c r="C42" s="18">
        <v>0.70833333333333337</v>
      </c>
      <c r="D42" s="16" t="s">
        <v>59</v>
      </c>
      <c r="E42" s="16" t="s">
        <v>10</v>
      </c>
      <c r="F42" s="16" t="s">
        <v>11</v>
      </c>
      <c r="G42" s="16"/>
      <c r="H42" s="23">
        <f t="shared" si="0"/>
        <v>30.000000000000053</v>
      </c>
    </row>
    <row r="43" spans="1:8" x14ac:dyDescent="0.45">
      <c r="A43" s="17">
        <v>46184</v>
      </c>
      <c r="B43" s="18">
        <v>0.375</v>
      </c>
      <c r="C43" s="18">
        <v>0.50347222222222221</v>
      </c>
      <c r="D43" s="16" t="s">
        <v>60</v>
      </c>
      <c r="E43" s="16" t="s">
        <v>11</v>
      </c>
      <c r="F43" s="16" t="s">
        <v>11</v>
      </c>
      <c r="G43" s="16"/>
      <c r="H43" s="23">
        <f t="shared" si="0"/>
        <v>184.99999999999997</v>
      </c>
    </row>
    <row r="44" spans="1:8" x14ac:dyDescent="0.45">
      <c r="A44" s="17">
        <v>46184</v>
      </c>
      <c r="B44" s="18">
        <v>0.69791666666666663</v>
      </c>
      <c r="C44" s="18">
        <v>0.72916666666666663</v>
      </c>
      <c r="D44" s="16" t="s">
        <v>61</v>
      </c>
      <c r="E44" s="16" t="s">
        <v>11</v>
      </c>
      <c r="F44" s="16" t="s">
        <v>11</v>
      </c>
      <c r="G44" s="16"/>
      <c r="H44" s="23">
        <f t="shared" si="0"/>
        <v>45</v>
      </c>
    </row>
    <row r="45" spans="1:8" ht="42.75" x14ac:dyDescent="0.45">
      <c r="A45" s="17">
        <v>46187</v>
      </c>
      <c r="B45" s="18">
        <v>0.55208333333333337</v>
      </c>
      <c r="C45" s="18">
        <v>0.62847222222222221</v>
      </c>
      <c r="D45" s="16" t="s">
        <v>62</v>
      </c>
      <c r="E45" s="16" t="s">
        <v>11</v>
      </c>
      <c r="F45" s="16" t="s">
        <v>11</v>
      </c>
      <c r="G45" s="16" t="s">
        <v>63</v>
      </c>
      <c r="H45" s="23">
        <f t="shared" si="0"/>
        <v>109.99999999999993</v>
      </c>
    </row>
    <row r="46" spans="1:8" x14ac:dyDescent="0.45">
      <c r="A46" s="17">
        <v>46190</v>
      </c>
      <c r="B46" s="18">
        <v>0.65277777777777779</v>
      </c>
      <c r="C46" s="18">
        <v>0.67361111111111116</v>
      </c>
      <c r="D46" s="16" t="s">
        <v>64</v>
      </c>
      <c r="E46" s="16" t="s">
        <v>11</v>
      </c>
      <c r="F46" s="16" t="s">
        <v>11</v>
      </c>
      <c r="G46" s="16"/>
      <c r="H46" s="23">
        <f t="shared" si="0"/>
        <v>30.000000000000053</v>
      </c>
    </row>
    <row r="47" spans="1:8" ht="57" x14ac:dyDescent="0.45">
      <c r="A47" s="17">
        <v>46190</v>
      </c>
      <c r="B47" s="18">
        <v>0.70138888888888884</v>
      </c>
      <c r="C47" s="18">
        <v>0.71527777777777779</v>
      </c>
      <c r="D47" s="16" t="s">
        <v>65</v>
      </c>
      <c r="E47" s="16"/>
      <c r="F47" s="16"/>
      <c r="G47" s="16" t="s">
        <v>66</v>
      </c>
      <c r="H47" s="23">
        <f t="shared" si="0"/>
        <v>20.000000000000089</v>
      </c>
    </row>
    <row r="48" spans="1:8" x14ac:dyDescent="0.45">
      <c r="A48" s="17">
        <v>46194</v>
      </c>
      <c r="B48" s="18">
        <v>0.73611111111111116</v>
      </c>
      <c r="C48" s="18">
        <v>0.76388888888888884</v>
      </c>
      <c r="D48" s="16" t="s">
        <v>65</v>
      </c>
      <c r="E48" s="16" t="s">
        <v>11</v>
      </c>
      <c r="F48" s="16" t="s">
        <v>11</v>
      </c>
      <c r="G48" s="16"/>
      <c r="H48" s="23">
        <f t="shared" si="0"/>
        <v>39.999999999999858</v>
      </c>
    </row>
    <row r="49" spans="1:8" x14ac:dyDescent="0.45">
      <c r="A49" s="17">
        <v>46210</v>
      </c>
      <c r="B49" s="18">
        <v>0.76388888888888884</v>
      </c>
      <c r="C49" s="18">
        <v>0.79166666666666663</v>
      </c>
      <c r="D49" s="16" t="s">
        <v>65</v>
      </c>
      <c r="E49" s="16" t="s">
        <v>11</v>
      </c>
      <c r="F49" s="16" t="s">
        <v>10</v>
      </c>
      <c r="G49" s="16"/>
      <c r="H49" s="23">
        <f t="shared" si="0"/>
        <v>40.000000000000014</v>
      </c>
    </row>
    <row r="50" spans="1:8" x14ac:dyDescent="0.45">
      <c r="A50" s="17">
        <v>46223</v>
      </c>
      <c r="B50" s="18">
        <v>0.63888888888888884</v>
      </c>
      <c r="C50" s="18">
        <v>0.6875</v>
      </c>
      <c r="D50" s="16" t="s">
        <v>67</v>
      </c>
      <c r="E50" s="16" t="s">
        <v>11</v>
      </c>
      <c r="F50" s="16" t="s">
        <v>11</v>
      </c>
      <c r="G50" s="16"/>
      <c r="H50" s="23">
        <f t="shared" si="0"/>
        <v>70.000000000000071</v>
      </c>
    </row>
    <row r="51" spans="1:8" x14ac:dyDescent="0.45">
      <c r="A51" s="17">
        <v>46223</v>
      </c>
      <c r="B51" s="18">
        <v>0.86805555555555558</v>
      </c>
      <c r="C51" s="18">
        <v>0.88888888888888884</v>
      </c>
      <c r="D51" s="16" t="s">
        <v>65</v>
      </c>
      <c r="E51" s="16" t="s">
        <v>11</v>
      </c>
      <c r="F51" s="16" t="s">
        <v>11</v>
      </c>
      <c r="G51" s="16"/>
      <c r="H51" s="23">
        <f t="shared" si="0"/>
        <v>29.999999999999893</v>
      </c>
    </row>
    <row r="52" spans="1:8" x14ac:dyDescent="0.45">
      <c r="A52" s="17">
        <v>46225</v>
      </c>
      <c r="B52" s="18">
        <v>0.54166666666666663</v>
      </c>
      <c r="C52" s="18">
        <v>0.56597222222222221</v>
      </c>
      <c r="D52" s="16" t="s">
        <v>68</v>
      </c>
      <c r="E52" s="16" t="s">
        <v>10</v>
      </c>
      <c r="F52" s="16" t="s">
        <v>11</v>
      </c>
      <c r="G52" s="16"/>
      <c r="H52" s="23">
        <f t="shared" si="0"/>
        <v>35.000000000000036</v>
      </c>
    </row>
    <row r="53" spans="1:8" x14ac:dyDescent="0.45">
      <c r="A53" s="17">
        <v>46227</v>
      </c>
      <c r="B53" s="18">
        <v>0.6875</v>
      </c>
      <c r="C53" s="18">
        <v>0.71875</v>
      </c>
      <c r="D53" s="16" t="s">
        <v>69</v>
      </c>
      <c r="E53" s="16" t="s">
        <v>10</v>
      </c>
      <c r="F53" s="16" t="s">
        <v>11</v>
      </c>
      <c r="G53" s="16"/>
      <c r="H53" s="23">
        <f t="shared" si="0"/>
        <v>45</v>
      </c>
    </row>
    <row r="54" spans="1:8" x14ac:dyDescent="0.45">
      <c r="A54" s="17">
        <v>46233</v>
      </c>
      <c r="B54" s="18">
        <v>0.8125</v>
      </c>
      <c r="C54" s="18">
        <v>0.85069444444444442</v>
      </c>
      <c r="D54" s="16" t="s">
        <v>70</v>
      </c>
      <c r="E54" s="16" t="s">
        <v>11</v>
      </c>
      <c r="F54" s="16" t="s">
        <v>11</v>
      </c>
      <c r="G54" s="16"/>
      <c r="H54" s="23">
        <f t="shared" si="0"/>
        <v>54.999999999999964</v>
      </c>
    </row>
    <row r="55" spans="1:8" ht="57" x14ac:dyDescent="0.45">
      <c r="A55" s="17">
        <v>46234</v>
      </c>
      <c r="B55" s="18">
        <v>0.54861111111111116</v>
      </c>
      <c r="C55" s="18">
        <v>0.55902777777777779</v>
      </c>
      <c r="D55" s="16" t="s">
        <v>72</v>
      </c>
      <c r="E55" s="16" t="s">
        <v>11</v>
      </c>
      <c r="F55" s="16" t="s">
        <v>11</v>
      </c>
      <c r="G55" s="16" t="s">
        <v>71</v>
      </c>
      <c r="H55" s="23">
        <f t="shared" si="0"/>
        <v>14.999999999999947</v>
      </c>
    </row>
    <row r="56" spans="1:8" x14ac:dyDescent="0.45">
      <c r="A56" s="17">
        <v>46238</v>
      </c>
      <c r="B56" s="18">
        <v>0.50347222222222221</v>
      </c>
      <c r="C56" s="18">
        <v>0.55902777777777779</v>
      </c>
      <c r="D56" s="16" t="s">
        <v>73</v>
      </c>
      <c r="E56" s="16" t="s">
        <v>11</v>
      </c>
      <c r="F56" s="16" t="s">
        <v>11</v>
      </c>
      <c r="G56" s="16"/>
      <c r="H56" s="23">
        <f t="shared" si="0"/>
        <v>80.000000000000028</v>
      </c>
    </row>
    <row r="57" spans="1:8" ht="28.5" x14ac:dyDescent="0.45">
      <c r="A57" s="17">
        <v>46238</v>
      </c>
      <c r="B57" s="18">
        <v>0.77083333333333337</v>
      </c>
      <c r="C57" s="18">
        <v>0.79166666666666663</v>
      </c>
      <c r="D57" s="16" t="s">
        <v>74</v>
      </c>
      <c r="E57" s="16" t="s">
        <v>11</v>
      </c>
      <c r="F57" s="16" t="s">
        <v>11</v>
      </c>
      <c r="G57" s="16"/>
      <c r="H57" s="23">
        <f t="shared" si="0"/>
        <v>29.999999999999893</v>
      </c>
    </row>
    <row r="58" spans="1:8" x14ac:dyDescent="0.45">
      <c r="A58" s="17">
        <v>46240</v>
      </c>
      <c r="B58" s="18">
        <v>0.64236111111111116</v>
      </c>
      <c r="C58" s="18">
        <v>0.67013888888888884</v>
      </c>
      <c r="D58" s="16" t="s">
        <v>75</v>
      </c>
      <c r="E58" s="16" t="s">
        <v>10</v>
      </c>
      <c r="F58" s="16" t="s">
        <v>11</v>
      </c>
      <c r="G58" s="16"/>
      <c r="H58" s="23">
        <f t="shared" si="0"/>
        <v>39.999999999999858</v>
      </c>
    </row>
    <row r="59" spans="1:8" ht="28.5" x14ac:dyDescent="0.45">
      <c r="A59" s="17">
        <v>46240</v>
      </c>
      <c r="B59" s="18">
        <v>0.73611111111111116</v>
      </c>
      <c r="C59" s="18">
        <v>0.80555555555555558</v>
      </c>
      <c r="D59" s="16" t="s">
        <v>76</v>
      </c>
      <c r="E59" s="16" t="s">
        <v>11</v>
      </c>
      <c r="F59" s="16" t="s">
        <v>10</v>
      </c>
      <c r="G59" s="16" t="s">
        <v>77</v>
      </c>
      <c r="H59" s="23">
        <f t="shared" si="0"/>
        <v>99.999999999999972</v>
      </c>
    </row>
    <row r="60" spans="1:8" x14ac:dyDescent="0.45">
      <c r="A60" s="17">
        <v>46241</v>
      </c>
      <c r="B60" s="18">
        <v>0.82638888888888884</v>
      </c>
      <c r="C60" s="18">
        <v>0.84027777777777779</v>
      </c>
      <c r="D60" s="16" t="s">
        <v>78</v>
      </c>
      <c r="E60" s="16" t="s">
        <v>11</v>
      </c>
      <c r="F60" s="16" t="s">
        <v>10</v>
      </c>
      <c r="G60" s="16"/>
      <c r="H60" s="23">
        <f t="shared" si="0"/>
        <v>20.000000000000089</v>
      </c>
    </row>
    <row r="61" spans="1:8" ht="42.75" x14ac:dyDescent="0.45">
      <c r="A61" s="17">
        <v>46243</v>
      </c>
      <c r="B61" s="18">
        <v>0.4861111111111111</v>
      </c>
      <c r="C61" s="18">
        <v>0.52777777777777779</v>
      </c>
      <c r="D61" s="16" t="s">
        <v>79</v>
      </c>
      <c r="E61" s="16" t="s">
        <v>10</v>
      </c>
      <c r="F61" s="16" t="s">
        <v>11</v>
      </c>
      <c r="G61" s="16" t="s">
        <v>80</v>
      </c>
      <c r="H61" s="23">
        <f t="shared" si="0"/>
        <v>60.000000000000028</v>
      </c>
    </row>
    <row r="62" spans="1:8" x14ac:dyDescent="0.45">
      <c r="A62" s="17">
        <v>46253</v>
      </c>
      <c r="B62" s="18">
        <v>0.69097222222222221</v>
      </c>
      <c r="C62" s="18">
        <v>0.70833333333333337</v>
      </c>
      <c r="D62" s="16" t="s">
        <v>81</v>
      </c>
      <c r="E62" s="16" t="s">
        <v>11</v>
      </c>
      <c r="F62" s="16" t="s">
        <v>10</v>
      </c>
      <c r="G62" s="16"/>
      <c r="H62" s="23">
        <f t="shared" si="0"/>
        <v>25.000000000000071</v>
      </c>
    </row>
    <row r="63" spans="1:8" ht="85.5" x14ac:dyDescent="0.45">
      <c r="A63" s="17">
        <v>46253</v>
      </c>
      <c r="B63" s="18">
        <v>0.80555555555555558</v>
      </c>
      <c r="C63" s="18">
        <v>0.83333333333333337</v>
      </c>
      <c r="D63" s="16" t="s">
        <v>79</v>
      </c>
      <c r="E63" s="16" t="s">
        <v>10</v>
      </c>
      <c r="F63" s="16" t="s">
        <v>11</v>
      </c>
      <c r="G63" s="16" t="s">
        <v>82</v>
      </c>
      <c r="H63" s="23">
        <f t="shared" si="0"/>
        <v>40.000000000000014</v>
      </c>
    </row>
    <row r="64" spans="1:8" x14ac:dyDescent="0.45">
      <c r="A64" s="17">
        <v>46254</v>
      </c>
      <c r="B64" s="18">
        <v>0.85763888888888884</v>
      </c>
      <c r="C64" s="18">
        <v>0.88194444444444442</v>
      </c>
      <c r="D64" s="16" t="s">
        <v>83</v>
      </c>
      <c r="E64" s="16" t="s">
        <v>11</v>
      </c>
      <c r="F64" s="16" t="s">
        <v>11</v>
      </c>
      <c r="G64" s="16"/>
      <c r="H64" s="23">
        <f t="shared" si="0"/>
        <v>35.000000000000036</v>
      </c>
    </row>
    <row r="65" spans="1:8" x14ac:dyDescent="0.45">
      <c r="A65" s="17">
        <v>46256</v>
      </c>
      <c r="B65" s="18">
        <v>0.4826388888888889</v>
      </c>
      <c r="C65" s="18">
        <v>0.52083333333333337</v>
      </c>
      <c r="D65" s="16" t="s">
        <v>84</v>
      </c>
      <c r="E65" s="16" t="s">
        <v>10</v>
      </c>
      <c r="F65" s="16" t="s">
        <v>11</v>
      </c>
      <c r="G65" s="16"/>
      <c r="H65" s="23">
        <f t="shared" si="0"/>
        <v>55.000000000000043</v>
      </c>
    </row>
    <row r="66" spans="1:8" x14ac:dyDescent="0.45">
      <c r="A66" s="17">
        <v>46256</v>
      </c>
      <c r="B66" s="18">
        <v>0.77430555555555558</v>
      </c>
      <c r="C66" s="18">
        <v>0.80208333333333337</v>
      </c>
      <c r="D66" s="16" t="s">
        <v>85</v>
      </c>
      <c r="E66" s="16" t="s">
        <v>11</v>
      </c>
      <c r="F66" s="16" t="s">
        <v>11</v>
      </c>
      <c r="G66" s="16"/>
      <c r="H66" s="23">
        <f t="shared" si="0"/>
        <v>40.000000000000014</v>
      </c>
    </row>
    <row r="67" spans="1:8" x14ac:dyDescent="0.45">
      <c r="A67" s="17">
        <v>46258</v>
      </c>
      <c r="B67" s="18">
        <v>0.69791666666666663</v>
      </c>
      <c r="C67" s="18">
        <v>0.72916666666666663</v>
      </c>
      <c r="D67" s="16" t="s">
        <v>86</v>
      </c>
      <c r="E67" s="16" t="s">
        <v>11</v>
      </c>
      <c r="F67" s="16" t="s">
        <v>11</v>
      </c>
      <c r="G67" s="16"/>
      <c r="H67" s="23">
        <f t="shared" si="0"/>
        <v>45</v>
      </c>
    </row>
    <row r="68" spans="1:8" ht="85.5" x14ac:dyDescent="0.45">
      <c r="A68" s="17">
        <v>46260</v>
      </c>
      <c r="B68" s="18">
        <v>0.64236111111111116</v>
      </c>
      <c r="C68" s="18">
        <v>0.76736111111111116</v>
      </c>
      <c r="D68" s="16" t="s">
        <v>86</v>
      </c>
      <c r="E68" s="16" t="s">
        <v>11</v>
      </c>
      <c r="F68" s="16" t="s">
        <v>10</v>
      </c>
      <c r="G68" s="16" t="s">
        <v>87</v>
      </c>
      <c r="H68" s="23">
        <f t="shared" si="0"/>
        <v>180</v>
      </c>
    </row>
    <row r="69" spans="1:8" ht="57" x14ac:dyDescent="0.45">
      <c r="A69" s="17">
        <v>46261</v>
      </c>
      <c r="B69" s="18">
        <v>0.88541666666666663</v>
      </c>
      <c r="C69" s="18">
        <v>0.91666666666666663</v>
      </c>
      <c r="D69" s="16" t="s">
        <v>88</v>
      </c>
      <c r="E69" s="16"/>
      <c r="F69" s="16"/>
      <c r="G69" s="16" t="s">
        <v>89</v>
      </c>
      <c r="H69" s="23">
        <f t="shared" si="0"/>
        <v>45</v>
      </c>
    </row>
    <row r="70" spans="1:8" ht="57" x14ac:dyDescent="0.45">
      <c r="A70" s="17">
        <v>46262</v>
      </c>
      <c r="B70" s="18">
        <v>0.79166666666666663</v>
      </c>
      <c r="C70" s="18">
        <v>0.81944444444444442</v>
      </c>
      <c r="D70" s="16" t="s">
        <v>91</v>
      </c>
      <c r="E70" s="16" t="s">
        <v>11</v>
      </c>
      <c r="F70" s="16" t="s">
        <v>11</v>
      </c>
      <c r="G70" s="16" t="s">
        <v>90</v>
      </c>
      <c r="H70" s="23">
        <f t="shared" si="0"/>
        <v>40.000000000000014</v>
      </c>
    </row>
    <row r="71" spans="1:8" ht="28.5" x14ac:dyDescent="0.45">
      <c r="A71" s="17">
        <v>46263</v>
      </c>
      <c r="B71" s="18">
        <v>0.3923611111111111</v>
      </c>
      <c r="C71" s="18">
        <v>0.44444444444444442</v>
      </c>
      <c r="D71" s="16" t="s">
        <v>91</v>
      </c>
      <c r="E71" s="16" t="s">
        <v>11</v>
      </c>
      <c r="F71" s="16" t="s">
        <v>11</v>
      </c>
      <c r="G71" s="16"/>
      <c r="H71" s="23">
        <f t="shared" si="0"/>
        <v>74.999999999999972</v>
      </c>
    </row>
    <row r="72" spans="1:8" ht="142.5" x14ac:dyDescent="0.45">
      <c r="A72" s="17">
        <v>46264</v>
      </c>
      <c r="B72" s="18">
        <v>0.44444444444444442</v>
      </c>
      <c r="C72" s="18">
        <v>0.58333333333333337</v>
      </c>
      <c r="D72" s="16" t="s">
        <v>92</v>
      </c>
      <c r="E72" s="16" t="s">
        <v>11</v>
      </c>
      <c r="F72" s="16" t="s">
        <v>11</v>
      </c>
      <c r="G72" s="16" t="s">
        <v>93</v>
      </c>
      <c r="H72" s="23">
        <f t="shared" si="0"/>
        <v>200.00000000000009</v>
      </c>
    </row>
    <row r="73" spans="1:8" x14ac:dyDescent="0.45">
      <c r="A73" s="17">
        <v>46264</v>
      </c>
      <c r="B73" s="18">
        <v>0.91666666666666663</v>
      </c>
      <c r="C73" s="18">
        <v>0.9375</v>
      </c>
      <c r="D73" s="16" t="s">
        <v>94</v>
      </c>
      <c r="E73" s="16" t="s">
        <v>10</v>
      </c>
      <c r="F73" s="16" t="s">
        <v>11</v>
      </c>
      <c r="G73" s="16"/>
      <c r="H73" s="23">
        <f t="shared" si="0"/>
        <v>30.000000000000053</v>
      </c>
    </row>
    <row r="74" spans="1:8" x14ac:dyDescent="0.45">
      <c r="A74" s="17">
        <v>46265</v>
      </c>
      <c r="B74" s="18">
        <v>0.3888888888888889</v>
      </c>
      <c r="C74" s="18">
        <v>0.40972222222222221</v>
      </c>
      <c r="D74" s="16" t="s">
        <v>95</v>
      </c>
      <c r="E74" s="16" t="s">
        <v>10</v>
      </c>
      <c r="F74" s="16" t="s">
        <v>11</v>
      </c>
      <c r="G74" s="16"/>
      <c r="H74" s="23">
        <f t="shared" ref="H74:H100" si="1">(C74-B74)*24*60</f>
        <v>29.999999999999972</v>
      </c>
    </row>
    <row r="75" spans="1:8" ht="57" x14ac:dyDescent="0.45">
      <c r="A75" s="17">
        <v>46265</v>
      </c>
      <c r="B75" s="18">
        <v>0.81944444444444442</v>
      </c>
      <c r="C75" s="18">
        <v>0.91666666666666663</v>
      </c>
      <c r="D75" s="16" t="s">
        <v>97</v>
      </c>
      <c r="E75" s="16" t="s">
        <v>11</v>
      </c>
      <c r="F75" s="16" t="s">
        <v>11</v>
      </c>
      <c r="G75" s="24" t="s">
        <v>96</v>
      </c>
      <c r="H75" s="23">
        <f t="shared" si="1"/>
        <v>139.99999999999997</v>
      </c>
    </row>
    <row r="76" spans="1:8" x14ac:dyDescent="0.45">
      <c r="A76" s="17">
        <v>46265</v>
      </c>
      <c r="B76" s="18">
        <v>0.91666666666666663</v>
      </c>
      <c r="C76" s="18">
        <v>1.0277777777777777</v>
      </c>
      <c r="D76" s="16" t="s">
        <v>98</v>
      </c>
      <c r="E76" s="16" t="s">
        <v>13</v>
      </c>
      <c r="F76" s="16" t="s">
        <v>11</v>
      </c>
      <c r="G76" s="16"/>
      <c r="H76" s="23">
        <f t="shared" si="1"/>
        <v>159.99999999999991</v>
      </c>
    </row>
    <row r="77" spans="1:8" x14ac:dyDescent="0.45">
      <c r="A77" s="20"/>
      <c r="B77" s="18"/>
      <c r="C77" s="16"/>
      <c r="D77" s="16"/>
      <c r="E77" s="16"/>
      <c r="F77" s="16"/>
      <c r="G77" s="16"/>
      <c r="H77" s="23">
        <f t="shared" si="1"/>
        <v>0</v>
      </c>
    </row>
    <row r="78" spans="1:8" x14ac:dyDescent="0.45">
      <c r="A78" s="20"/>
      <c r="B78" s="18"/>
      <c r="C78" s="16"/>
      <c r="D78" s="16"/>
      <c r="E78" s="16"/>
      <c r="F78" s="16"/>
      <c r="G78" s="16"/>
      <c r="H78" s="23">
        <f t="shared" si="1"/>
        <v>0</v>
      </c>
    </row>
    <row r="79" spans="1:8" x14ac:dyDescent="0.45">
      <c r="A79" s="20"/>
      <c r="B79" s="18"/>
      <c r="C79" s="16"/>
      <c r="D79" s="16"/>
      <c r="E79" s="16"/>
      <c r="F79" s="16"/>
      <c r="G79" s="16"/>
      <c r="H79" s="23">
        <f t="shared" si="1"/>
        <v>0</v>
      </c>
    </row>
    <row r="80" spans="1:8" x14ac:dyDescent="0.45">
      <c r="A80" s="20"/>
      <c r="B80" s="18"/>
      <c r="C80" s="16"/>
      <c r="D80" s="16"/>
      <c r="E80" s="16"/>
      <c r="F80" s="16"/>
      <c r="G80" s="16"/>
      <c r="H80" s="23">
        <f t="shared" si="1"/>
        <v>0</v>
      </c>
    </row>
    <row r="81" spans="1:8" x14ac:dyDescent="0.45">
      <c r="A81" s="20"/>
      <c r="B81" s="18"/>
      <c r="C81" s="16"/>
      <c r="D81" s="16"/>
      <c r="E81" s="16"/>
      <c r="F81" s="16"/>
      <c r="G81" s="16"/>
      <c r="H81" s="23">
        <f t="shared" si="1"/>
        <v>0</v>
      </c>
    </row>
    <row r="82" spans="1:8" x14ac:dyDescent="0.45">
      <c r="A82" s="20"/>
      <c r="B82" s="18"/>
      <c r="C82" s="16"/>
      <c r="D82" s="16"/>
      <c r="E82" s="16"/>
      <c r="F82" s="16"/>
      <c r="G82" s="16"/>
      <c r="H82" s="23">
        <f t="shared" si="1"/>
        <v>0</v>
      </c>
    </row>
    <row r="83" spans="1:8" x14ac:dyDescent="0.45">
      <c r="A83" s="20"/>
      <c r="B83" s="18"/>
      <c r="C83" s="16"/>
      <c r="D83" s="16"/>
      <c r="E83" s="16"/>
      <c r="F83" s="16"/>
      <c r="G83" s="16"/>
      <c r="H83" s="23">
        <f t="shared" si="1"/>
        <v>0</v>
      </c>
    </row>
    <row r="84" spans="1:8" x14ac:dyDescent="0.45">
      <c r="A84" s="20"/>
      <c r="B84" s="18"/>
      <c r="C84" s="16"/>
      <c r="D84" s="16"/>
      <c r="E84" s="16"/>
      <c r="F84" s="16"/>
      <c r="G84" s="16"/>
      <c r="H84" s="23">
        <f t="shared" si="1"/>
        <v>0</v>
      </c>
    </row>
    <row r="85" spans="1:8" x14ac:dyDescent="0.45">
      <c r="A85" s="20"/>
      <c r="B85" s="18"/>
      <c r="C85" s="16"/>
      <c r="D85" s="16"/>
      <c r="E85" s="16"/>
      <c r="F85" s="16"/>
      <c r="G85" s="16"/>
      <c r="H85" s="23">
        <f t="shared" si="1"/>
        <v>0</v>
      </c>
    </row>
    <row r="86" spans="1:8" x14ac:dyDescent="0.45">
      <c r="A86" s="20"/>
      <c r="B86" s="18"/>
      <c r="C86" s="16"/>
      <c r="D86" s="16"/>
      <c r="E86" s="16"/>
      <c r="F86" s="16"/>
      <c r="G86" s="16"/>
      <c r="H86" s="23">
        <f t="shared" si="1"/>
        <v>0</v>
      </c>
    </row>
    <row r="87" spans="1:8" x14ac:dyDescent="0.45">
      <c r="A87" s="20"/>
      <c r="B87" s="18"/>
      <c r="C87" s="16"/>
      <c r="D87" s="16"/>
      <c r="E87" s="16"/>
      <c r="F87" s="16"/>
      <c r="G87" s="16"/>
      <c r="H87" s="23">
        <f t="shared" si="1"/>
        <v>0</v>
      </c>
    </row>
    <row r="88" spans="1:8" x14ac:dyDescent="0.45">
      <c r="A88" s="20"/>
      <c r="B88" s="18"/>
      <c r="C88" s="16"/>
      <c r="D88" s="16"/>
      <c r="E88" s="16"/>
      <c r="F88" s="16"/>
      <c r="G88" s="16"/>
      <c r="H88" s="23">
        <f t="shared" si="1"/>
        <v>0</v>
      </c>
    </row>
    <row r="89" spans="1:8" x14ac:dyDescent="0.45">
      <c r="A89" s="20"/>
      <c r="B89" s="18"/>
      <c r="C89" s="16"/>
      <c r="D89" s="16"/>
      <c r="E89" s="16"/>
      <c r="F89" s="16"/>
      <c r="G89" s="16"/>
      <c r="H89" s="23">
        <f t="shared" si="1"/>
        <v>0</v>
      </c>
    </row>
    <row r="90" spans="1:8" x14ac:dyDescent="0.45">
      <c r="A90" s="20"/>
      <c r="B90" s="18"/>
      <c r="C90" s="16"/>
      <c r="D90" s="16"/>
      <c r="E90" s="16"/>
      <c r="F90" s="16"/>
      <c r="G90" s="16"/>
      <c r="H90" s="23">
        <f t="shared" si="1"/>
        <v>0</v>
      </c>
    </row>
    <row r="91" spans="1:8" x14ac:dyDescent="0.45">
      <c r="A91" s="20"/>
      <c r="B91" s="18"/>
      <c r="C91" s="16"/>
      <c r="D91" s="16"/>
      <c r="E91" s="16"/>
      <c r="F91" s="16"/>
      <c r="G91" s="16"/>
      <c r="H91" s="23">
        <f t="shared" si="1"/>
        <v>0</v>
      </c>
    </row>
    <row r="92" spans="1:8" x14ac:dyDescent="0.45">
      <c r="A92" s="20"/>
      <c r="B92" s="18"/>
      <c r="C92" s="16"/>
      <c r="D92" s="16"/>
      <c r="E92" s="16"/>
      <c r="F92" s="16"/>
      <c r="G92" s="16"/>
      <c r="H92" s="23">
        <f t="shared" si="1"/>
        <v>0</v>
      </c>
    </row>
    <row r="93" spans="1:8" x14ac:dyDescent="0.45">
      <c r="A93" s="20"/>
      <c r="B93" s="18"/>
      <c r="C93" s="16"/>
      <c r="D93" s="16"/>
      <c r="E93" s="16"/>
      <c r="F93" s="16"/>
      <c r="G93" s="16"/>
      <c r="H93" s="23">
        <f t="shared" si="1"/>
        <v>0</v>
      </c>
    </row>
    <row r="94" spans="1:8" x14ac:dyDescent="0.45">
      <c r="A94" s="20"/>
      <c r="B94" s="18"/>
      <c r="C94" s="16"/>
      <c r="D94" s="16"/>
      <c r="E94" s="16"/>
      <c r="F94" s="16"/>
      <c r="G94" s="16"/>
      <c r="H94" s="23">
        <f t="shared" si="1"/>
        <v>0</v>
      </c>
    </row>
    <row r="95" spans="1:8" x14ac:dyDescent="0.45">
      <c r="A95" s="20"/>
      <c r="B95" s="18"/>
      <c r="C95" s="16"/>
      <c r="D95" s="16"/>
      <c r="E95" s="16"/>
      <c r="F95" s="16"/>
      <c r="G95" s="16"/>
      <c r="H95" s="23">
        <f t="shared" si="1"/>
        <v>0</v>
      </c>
    </row>
    <row r="96" spans="1:8" x14ac:dyDescent="0.45">
      <c r="A96" s="20"/>
      <c r="B96" s="18"/>
      <c r="C96" s="16"/>
      <c r="D96" s="16"/>
      <c r="E96" s="16"/>
      <c r="F96" s="16"/>
      <c r="G96" s="16"/>
      <c r="H96" s="23">
        <f t="shared" si="1"/>
        <v>0</v>
      </c>
    </row>
    <row r="97" spans="1:8" x14ac:dyDescent="0.45">
      <c r="A97" s="20"/>
      <c r="B97" s="18"/>
      <c r="C97" s="16"/>
      <c r="D97" s="16"/>
      <c r="E97" s="16"/>
      <c r="F97" s="16"/>
      <c r="G97" s="16"/>
      <c r="H97" s="23">
        <f t="shared" si="1"/>
        <v>0</v>
      </c>
    </row>
    <row r="98" spans="1:8" x14ac:dyDescent="0.45">
      <c r="A98" s="20"/>
      <c r="B98" s="18"/>
      <c r="C98" s="16"/>
      <c r="D98" s="16"/>
      <c r="E98" s="16"/>
      <c r="F98" s="16"/>
      <c r="G98" s="16"/>
      <c r="H98" s="23">
        <f t="shared" si="1"/>
        <v>0</v>
      </c>
    </row>
    <row r="99" spans="1:8" x14ac:dyDescent="0.45">
      <c r="A99" s="20"/>
      <c r="B99" s="18"/>
      <c r="C99" s="16"/>
      <c r="D99" s="16"/>
      <c r="E99" s="16"/>
      <c r="F99" s="16"/>
      <c r="G99" s="16"/>
      <c r="H99" s="23">
        <f t="shared" si="1"/>
        <v>0</v>
      </c>
    </row>
    <row r="100" spans="1:8" x14ac:dyDescent="0.45">
      <c r="A100" s="21"/>
      <c r="B100" s="22"/>
      <c r="C100" s="22"/>
      <c r="D100" s="22"/>
      <c r="E100" s="22"/>
      <c r="F100" s="22"/>
      <c r="G100" s="22"/>
      <c r="H100" s="23">
        <f t="shared" si="1"/>
        <v>0</v>
      </c>
    </row>
    <row r="101" spans="1:8" x14ac:dyDescent="0.45">
      <c r="G101" s="1" t="s">
        <v>7</v>
      </c>
      <c r="H101" s="9" t="str">
        <f>INT(SUM(H6:H100)/60) &amp; "h" &amp; TEXT(MOD(SUM(H6:H100),60),"00") &amp; "min"</f>
        <v>72h53min</v>
      </c>
    </row>
  </sheetData>
  <autoFilter ref="A5:H101" xr:uid="{00000000-0001-0000-0000-000000000000}"/>
  <mergeCells count="2">
    <mergeCell ref="A3:D3"/>
    <mergeCell ref="E1:F1"/>
  </mergeCells>
  <dataValidations count="2">
    <dataValidation type="list" allowBlank="1" showInputMessage="1" showErrorMessage="1" sqref="E6:E100" xr:uid="{FF29CDF3-CAF1-4814-A28E-A01254FF2B19}">
      <formula1>"oui,partiel,non"</formula1>
    </dataValidation>
    <dataValidation type="list" allowBlank="1" showInputMessage="1" showErrorMessage="1" sqref="F6:F100" xr:uid="{212BC4A8-69C9-4B75-A25B-210F7A1E83A3}">
      <formula1>"oui,non"</formula1>
    </dataValidation>
  </dataValidations>
  <hyperlinks>
    <hyperlink ref="G40" r:id="rId1" xr:uid="{B9ED62F5-D725-4D53-9B0F-E019B783822E}"/>
    <hyperlink ref="G75" r:id="rId2" display="https://youtu.be/4LkiX_XioXg?list=PLUWxWDlz8PYKnrd27LTqOxL2lr3KhEVRT" xr:uid="{5831A4A7-67B6-4CB5-B927-AB068106D34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2683EC2A198B44394C52793ACB65FBD" ma:contentTypeVersion="0" ma:contentTypeDescription="Crée un document." ma:contentTypeScope="" ma:versionID="6614fedf6d12f89a3092f059fe8633fe">
  <xsd:schema xmlns:xsd="http://www.w3.org/2001/XMLSchema" xmlns:xs="http://www.w3.org/2001/XMLSchema" xmlns:p="http://schemas.microsoft.com/office/2006/metadata/properties" targetNamespace="http://schemas.microsoft.com/office/2006/metadata/properties" ma:root="true" ma:fieldsID="59a6fe2a7d9dc96896303587bf0a7fa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6031697-4385-4F58-9122-7A0CDA18A9AC}">
  <ds:schemaRefs>
    <ds:schemaRef ds:uri="http://schemas.microsoft.com/sharepoint/v3/contenttype/forms"/>
  </ds:schemaRefs>
</ds:datastoreItem>
</file>

<file path=customXml/itemProps2.xml><?xml version="1.0" encoding="utf-8"?>
<ds:datastoreItem xmlns:ds="http://schemas.openxmlformats.org/officeDocument/2006/customXml" ds:itemID="{C6A7850F-9F3D-47C2-81FB-98C8DB95427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9A1F1FE2-A50F-4019-A0B5-E0D705B821B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journal-de-bord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Bertolini Bilal, Gymnase Bienne Jura bernois</cp:lastModifiedBy>
  <cp:revision/>
  <dcterms:created xsi:type="dcterms:W3CDTF">2025-12-02T13:42:22Z</dcterms:created>
  <dcterms:modified xsi:type="dcterms:W3CDTF">2026-08-31T22:45:24Z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0x010100F2683EC2A198B44394C52793ACB65FBD</vt:lpwstr>
  </property>
  <property fmtid="{D5CDD505-2E9C-101B-9397-08002B2CF9AE}" pid="3" name="MediaServiceImageTags">
    <vt:lpwstr/>
  </property>
</Properties>
</file>